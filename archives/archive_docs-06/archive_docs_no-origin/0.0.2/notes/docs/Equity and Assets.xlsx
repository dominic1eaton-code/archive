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4ebf61c2a9eeab/Desktop/files/"/>
    </mc:Choice>
  </mc:AlternateContent>
  <xr:revisionPtr revIDLastSave="711" documentId="8_{21487967-A7B8-487C-A5BA-263809551540}" xr6:coauthVersionLast="47" xr6:coauthVersionMax="47" xr10:uidLastSave="{5AE77B37-2401-43CC-B52F-0A83BEC8250B}"/>
  <bookViews>
    <workbookView xWindow="-96" yWindow="0" windowWidth="11712" windowHeight="12336" xr2:uid="{9AE254C0-9787-4B0C-980B-CF6C7850A334}"/>
  </bookViews>
  <sheets>
    <sheet name="Equity" sheetId="1" r:id="rId1"/>
    <sheet name="Ass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" l="1"/>
  <c r="N43" i="1"/>
  <c r="N46" i="1" s="1"/>
  <c r="E36" i="1"/>
  <c r="E37" i="1"/>
  <c r="E38" i="1"/>
  <c r="E39" i="1"/>
  <c r="D36" i="1"/>
  <c r="D37" i="1"/>
  <c r="D38" i="1"/>
  <c r="D39" i="1"/>
  <c r="C36" i="1"/>
  <c r="C37" i="1"/>
  <c r="C38" i="1"/>
  <c r="C39" i="1"/>
  <c r="C35" i="1"/>
  <c r="D35" i="1"/>
  <c r="E35" i="1"/>
  <c r="F36" i="1"/>
  <c r="F37" i="1"/>
  <c r="F38" i="1"/>
  <c r="F39" i="1"/>
  <c r="F35" i="1"/>
  <c r="F34" i="1"/>
  <c r="M31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J27" i="1"/>
  <c r="J28" i="1"/>
  <c r="J29" i="1"/>
  <c r="J30" i="1"/>
  <c r="L31" i="1"/>
  <c r="K31" i="1"/>
  <c r="H26" i="1"/>
  <c r="I26" i="1"/>
  <c r="J26" i="1"/>
  <c r="H27" i="1"/>
  <c r="I27" i="1"/>
  <c r="H28" i="1"/>
  <c r="I28" i="1"/>
  <c r="H29" i="1"/>
  <c r="I29" i="1"/>
  <c r="H30" i="1"/>
  <c r="I30" i="1"/>
  <c r="G26" i="1"/>
  <c r="G27" i="1"/>
  <c r="G28" i="1"/>
  <c r="G29" i="1"/>
  <c r="G30" i="1"/>
  <c r="B108" i="1"/>
  <c r="B109" i="1"/>
  <c r="B110" i="1"/>
  <c r="B111" i="1"/>
  <c r="B107" i="1"/>
  <c r="B99" i="1"/>
  <c r="B100" i="1"/>
  <c r="B101" i="1"/>
  <c r="B102" i="1"/>
  <c r="B98" i="1"/>
  <c r="B90" i="1"/>
  <c r="B91" i="1"/>
  <c r="B92" i="1"/>
  <c r="B93" i="1"/>
  <c r="B89" i="1"/>
  <c r="B81" i="1"/>
  <c r="B82" i="1"/>
  <c r="B83" i="1"/>
  <c r="B84" i="1"/>
  <c r="B80" i="1"/>
  <c r="B71" i="1"/>
  <c r="B85" i="1"/>
  <c r="J31" i="1"/>
  <c r="I31" i="1"/>
  <c r="H31" i="1"/>
  <c r="G31" i="1"/>
  <c r="B72" i="1"/>
  <c r="B73" i="1"/>
  <c r="B74" i="1"/>
  <c r="B75" i="1"/>
  <c r="B63" i="1"/>
  <c r="B64" i="1"/>
  <c r="B65" i="1"/>
  <c r="B66" i="1"/>
  <c r="B62" i="1"/>
  <c r="B54" i="1"/>
  <c r="B55" i="1"/>
  <c r="B56" i="1"/>
  <c r="B57" i="1"/>
  <c r="B53" i="1"/>
  <c r="B44" i="1"/>
  <c r="B46" i="1"/>
  <c r="B47" i="1"/>
  <c r="B48" i="1"/>
  <c r="B45" i="1"/>
  <c r="E25" i="1"/>
  <c r="F16" i="1"/>
  <c r="E16" i="1"/>
  <c r="J16" i="1"/>
  <c r="I16" i="1"/>
  <c r="H16" i="1"/>
  <c r="F61" i="1"/>
  <c r="F63" i="1" s="1"/>
  <c r="E61" i="1"/>
  <c r="E66" i="1" s="1"/>
  <c r="D61" i="1"/>
  <c r="C61" i="1"/>
  <c r="D97" i="1"/>
  <c r="D99" i="1" s="1"/>
  <c r="C97" i="1"/>
  <c r="C100" i="1" s="1"/>
  <c r="E106" i="1"/>
  <c r="E107" i="1" s="1"/>
  <c r="D106" i="1"/>
  <c r="D107" i="1" s="1"/>
  <c r="C106" i="1"/>
  <c r="C109" i="1" s="1"/>
  <c r="E88" i="1"/>
  <c r="E89" i="1" s="1"/>
  <c r="D88" i="1"/>
  <c r="C88" i="1"/>
  <c r="E79" i="1"/>
  <c r="E80" i="1" s="1"/>
  <c r="D79" i="1"/>
  <c r="D80" i="1" s="1"/>
  <c r="C79" i="1"/>
  <c r="E70" i="1"/>
  <c r="E71" i="1" s="1"/>
  <c r="D70" i="1"/>
  <c r="C70" i="1"/>
  <c r="E52" i="1"/>
  <c r="E53" i="1" s="1"/>
  <c r="D52" i="1"/>
  <c r="D56" i="1" s="1"/>
  <c r="C52" i="1"/>
  <c r="C53" i="1" s="1"/>
  <c r="E34" i="1"/>
  <c r="D34" i="1"/>
  <c r="C34" i="1"/>
  <c r="D43" i="1"/>
  <c r="E43" i="1"/>
  <c r="E45" i="1" s="1"/>
  <c r="F43" i="1"/>
  <c r="F45" i="1" s="1"/>
  <c r="G43" i="1"/>
  <c r="G47" i="1" s="1"/>
  <c r="H43" i="1"/>
  <c r="H47" i="1" s="1"/>
  <c r="I43" i="1"/>
  <c r="I47" i="1" s="1"/>
  <c r="J43" i="1"/>
  <c r="J47" i="1" s="1"/>
  <c r="K43" i="1"/>
  <c r="K47" i="1" s="1"/>
  <c r="L43" i="1"/>
  <c r="L47" i="1" s="1"/>
  <c r="M43" i="1"/>
  <c r="C43" i="1"/>
  <c r="C46" i="1" s="1"/>
  <c r="C16" i="1"/>
  <c r="D108" i="1"/>
  <c r="E108" i="1"/>
  <c r="D109" i="1"/>
  <c r="E109" i="1"/>
  <c r="D110" i="1"/>
  <c r="E110" i="1"/>
  <c r="D111" i="1"/>
  <c r="E111" i="1"/>
  <c r="C108" i="1"/>
  <c r="D98" i="1"/>
  <c r="C107" i="1"/>
  <c r="C98" i="1"/>
  <c r="C54" i="1"/>
  <c r="C55" i="1"/>
  <c r="C56" i="1"/>
  <c r="C57" i="1"/>
  <c r="D71" i="1"/>
  <c r="D72" i="1"/>
  <c r="D73" i="1"/>
  <c r="D74" i="1"/>
  <c r="D75" i="1"/>
  <c r="C72" i="1"/>
  <c r="C73" i="1"/>
  <c r="C74" i="1"/>
  <c r="C75" i="1"/>
  <c r="E83" i="1"/>
  <c r="D84" i="1"/>
  <c r="E84" i="1"/>
  <c r="C81" i="1"/>
  <c r="C82" i="1"/>
  <c r="C83" i="1"/>
  <c r="C84" i="1"/>
  <c r="D89" i="1"/>
  <c r="D90" i="1"/>
  <c r="D91" i="1"/>
  <c r="D92" i="1"/>
  <c r="D93" i="1"/>
  <c r="C90" i="1"/>
  <c r="C91" i="1"/>
  <c r="C92" i="1"/>
  <c r="C93" i="1"/>
  <c r="C89" i="1"/>
  <c r="C80" i="1"/>
  <c r="C71" i="1"/>
  <c r="D62" i="1"/>
  <c r="E62" i="1"/>
  <c r="F62" i="1"/>
  <c r="D63" i="1"/>
  <c r="D64" i="1"/>
  <c r="D65" i="1"/>
  <c r="E65" i="1"/>
  <c r="D66" i="1"/>
  <c r="C63" i="1"/>
  <c r="C64" i="1"/>
  <c r="C65" i="1"/>
  <c r="C66" i="1"/>
  <c r="C62" i="1"/>
  <c r="E44" i="1"/>
  <c r="F44" i="1"/>
  <c r="G44" i="1"/>
  <c r="H44" i="1"/>
  <c r="I44" i="1"/>
  <c r="J44" i="1"/>
  <c r="K44" i="1"/>
  <c r="L44" i="1"/>
  <c r="M44" i="1"/>
  <c r="M45" i="1"/>
  <c r="E46" i="1"/>
  <c r="F46" i="1"/>
  <c r="G46" i="1"/>
  <c r="H46" i="1"/>
  <c r="I46" i="1"/>
  <c r="J46" i="1"/>
  <c r="K46" i="1"/>
  <c r="L46" i="1"/>
  <c r="M46" i="1"/>
  <c r="E47" i="1"/>
  <c r="F47" i="1"/>
  <c r="M47" i="1"/>
  <c r="E48" i="1"/>
  <c r="F48" i="1"/>
  <c r="G48" i="1"/>
  <c r="H48" i="1"/>
  <c r="I48" i="1"/>
  <c r="J48" i="1"/>
  <c r="K48" i="1"/>
  <c r="L48" i="1"/>
  <c r="M48" i="1"/>
  <c r="D45" i="1"/>
  <c r="D46" i="1"/>
  <c r="D47" i="1"/>
  <c r="D48" i="1"/>
  <c r="D44" i="1"/>
  <c r="B11" i="1"/>
  <c r="N45" i="1" l="1"/>
  <c r="N48" i="1"/>
  <c r="N47" i="1"/>
  <c r="F66" i="1"/>
  <c r="F64" i="1"/>
  <c r="F65" i="1"/>
  <c r="B67" i="1"/>
  <c r="E64" i="1"/>
  <c r="E63" i="1"/>
  <c r="C99" i="1"/>
  <c r="D101" i="1"/>
  <c r="D100" i="1"/>
  <c r="C102" i="1"/>
  <c r="C101" i="1"/>
  <c r="B103" i="1" s="1"/>
  <c r="D102" i="1"/>
  <c r="C111" i="1"/>
  <c r="C110" i="1"/>
  <c r="B112" i="1" s="1"/>
  <c r="E93" i="1"/>
  <c r="E92" i="1"/>
  <c r="B94" i="1" s="1"/>
  <c r="E91" i="1"/>
  <c r="E90" i="1"/>
  <c r="D81" i="1"/>
  <c r="D83" i="1"/>
  <c r="E82" i="1"/>
  <c r="D82" i="1"/>
  <c r="E81" i="1"/>
  <c r="E75" i="1"/>
  <c r="E74" i="1"/>
  <c r="B76" i="1" s="1"/>
  <c r="E73" i="1"/>
  <c r="E72" i="1"/>
  <c r="E56" i="1"/>
  <c r="E57" i="1"/>
  <c r="E55" i="1"/>
  <c r="E54" i="1"/>
  <c r="B58" i="1"/>
  <c r="D55" i="1"/>
  <c r="D54" i="1"/>
  <c r="D53" i="1"/>
  <c r="D57" i="1"/>
  <c r="B40" i="1"/>
  <c r="L45" i="1"/>
  <c r="K45" i="1"/>
  <c r="J45" i="1"/>
  <c r="I45" i="1"/>
  <c r="H45" i="1"/>
  <c r="G45" i="1"/>
  <c r="C44" i="1"/>
  <c r="C45" i="1"/>
  <c r="C48" i="1"/>
  <c r="C47" i="1"/>
  <c r="B49" i="1" s="1"/>
  <c r="B36" i="1" l="1"/>
  <c r="B37" i="1"/>
  <c r="B38" i="1"/>
  <c r="C31" i="1" s="1"/>
  <c r="B39" i="1"/>
  <c r="B35" i="1"/>
  <c r="F31" i="1" s="1"/>
  <c r="C22" i="1"/>
  <c r="B22" i="1"/>
  <c r="F27" i="1" l="1"/>
  <c r="F29" i="1"/>
  <c r="D31" i="1" s="1"/>
  <c r="F30" i="1"/>
  <c r="F26" i="1"/>
  <c r="F28" i="1"/>
  <c r="C26" i="1"/>
  <c r="C29" i="1"/>
  <c r="C25" i="1"/>
  <c r="C27" i="1"/>
  <c r="C30" i="1"/>
  <c r="C28" i="1"/>
  <c r="D27" i="1" l="1"/>
  <c r="D28" i="1"/>
  <c r="D30" i="1"/>
  <c r="D26" i="1"/>
  <c r="D25" i="1"/>
  <c r="D29" i="1"/>
  <c r="B31" i="1" s="1"/>
</calcChain>
</file>

<file path=xl/sharedStrings.xml><?xml version="1.0" encoding="utf-8"?>
<sst xmlns="http://schemas.openxmlformats.org/spreadsheetml/2006/main" count="175" uniqueCount="74">
  <si>
    <t>Equity and Assets</t>
  </si>
  <si>
    <t>Mchoro Inc.</t>
  </si>
  <si>
    <t>Oko</t>
  </si>
  <si>
    <t>authorized shares</t>
  </si>
  <si>
    <t>non allocated shares</t>
  </si>
  <si>
    <t>consulting shares</t>
  </si>
  <si>
    <t>holding shares</t>
  </si>
  <si>
    <t>Aja</t>
  </si>
  <si>
    <t>Ossain</t>
  </si>
  <si>
    <t>allocated shares</t>
  </si>
  <si>
    <t>D.E. LLC</t>
  </si>
  <si>
    <t>Iqanda</t>
  </si>
  <si>
    <t>Imali</t>
  </si>
  <si>
    <t>Moyo</t>
  </si>
  <si>
    <t>Obatala Sim and Game PortCo</t>
  </si>
  <si>
    <t>Obatala Entity and Resource PortCo</t>
  </si>
  <si>
    <t>parent shares</t>
  </si>
  <si>
    <t>share percentage</t>
  </si>
  <si>
    <t>default shares</t>
  </si>
  <si>
    <t>Firm</t>
  </si>
  <si>
    <t>Assets</t>
  </si>
  <si>
    <t>Shares</t>
  </si>
  <si>
    <t>Aganju</t>
  </si>
  <si>
    <t>Onile</t>
  </si>
  <si>
    <t>Oya</t>
  </si>
  <si>
    <t>Cheneo</t>
  </si>
  <si>
    <t>Pakati</t>
  </si>
  <si>
    <t>Kesaa</t>
  </si>
  <si>
    <t>Udo</t>
  </si>
  <si>
    <t>Okan</t>
  </si>
  <si>
    <t>Mashua</t>
  </si>
  <si>
    <t>Lafiya</t>
  </si>
  <si>
    <t>Xhuma</t>
  </si>
  <si>
    <t>Ashe</t>
  </si>
  <si>
    <t>Ukwazi</t>
  </si>
  <si>
    <t>Yemaya</t>
  </si>
  <si>
    <t>Makaa</t>
  </si>
  <si>
    <t>Unogada</t>
  </si>
  <si>
    <t>Iketango</t>
  </si>
  <si>
    <t>Dlula</t>
  </si>
  <si>
    <t>Batwa HoldCo</t>
  </si>
  <si>
    <t>Batwa Fund</t>
  </si>
  <si>
    <t>Batwa Firm LLC</t>
  </si>
  <si>
    <t>Kanye HoldCo</t>
  </si>
  <si>
    <t>Kanye Fund</t>
  </si>
  <si>
    <t>Kane Advisory Firm LLC</t>
  </si>
  <si>
    <t>Kanye PE Firm LLC</t>
  </si>
  <si>
    <t>Obatala HoldCo</t>
  </si>
  <si>
    <t>Obatala Fund</t>
  </si>
  <si>
    <t>Obatala OpCo</t>
  </si>
  <si>
    <t>Obatala IpCo</t>
  </si>
  <si>
    <t>Sim Incentive LLC</t>
  </si>
  <si>
    <t>held shares</t>
  </si>
  <si>
    <t>employee shares</t>
  </si>
  <si>
    <t>percentage</t>
  </si>
  <si>
    <t>treasury shares</t>
  </si>
  <si>
    <t>stakeholder shares</t>
  </si>
  <si>
    <t>Entity Core Incentive LLC</t>
  </si>
  <si>
    <t>Entity Core PortCo</t>
  </si>
  <si>
    <t>Entity Support Incentive LLC</t>
  </si>
  <si>
    <t>Entity Support PortCo</t>
  </si>
  <si>
    <t>Gegoolu</t>
  </si>
  <si>
    <t>Mukasa</t>
  </si>
  <si>
    <t>Musisi</t>
  </si>
  <si>
    <t>Kitaka</t>
  </si>
  <si>
    <t>Wanema</t>
  </si>
  <si>
    <t>Kibuka</t>
  </si>
  <si>
    <t>Wanga</t>
  </si>
  <si>
    <t>Nambi</t>
  </si>
  <si>
    <t>Kiwanuka</t>
  </si>
  <si>
    <t>Katonda</t>
  </si>
  <si>
    <t>Mbope</t>
  </si>
  <si>
    <t>Ibunzi</t>
  </si>
  <si>
    <t>Yii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</si>
</sst>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DD1B-9ACD-439A-A5AE-6794564B643B}">
  <dimension ref="A1:N112"/>
  <sheetViews>
    <sheetView tabSelected="1" topLeftCell="E42" zoomScale="74" workbookViewId="0">
      <selection activeCell="N47" sqref="N47"/>
    </sheetView>
  </sheetViews>
  <sheetFormatPr defaultRowHeight="14.4" x14ac:dyDescent="0.3"/>
  <cols>
    <col min="1" max="1" width="21.77734375" customWidth="1"/>
    <col min="2" max="2" width="33.77734375" customWidth="1"/>
    <col min="3" max="3" width="14.33203125" customWidth="1"/>
    <col min="4" max="4" width="31.44140625" customWidth="1"/>
    <col min="5" max="5" width="20.44140625" customWidth="1"/>
    <col min="6" max="6" width="26.88671875" customWidth="1"/>
    <col min="7" max="7" width="32.44140625" customWidth="1"/>
    <col min="8" max="8" width="14.21875" customWidth="1"/>
    <col min="9" max="9" width="24.77734375" customWidth="1"/>
    <col min="10" max="10" width="29.77734375" customWidth="1"/>
    <col min="11" max="11" width="32.88671875" customWidth="1"/>
    <col min="12" max="12" width="15.5546875" customWidth="1"/>
    <col min="13" max="13" width="15" customWidth="1"/>
    <col min="14" max="14" width="12" customWidth="1"/>
  </cols>
  <sheetData>
    <row r="1" spans="1:10" x14ac:dyDescent="0.3">
      <c r="A1" t="s">
        <v>0</v>
      </c>
    </row>
    <row r="2" spans="1:10" x14ac:dyDescent="0.3">
      <c r="A2" t="s">
        <v>21</v>
      </c>
    </row>
    <row r="3" spans="1:10" x14ac:dyDescent="0.3">
      <c r="E3" t="s">
        <v>54</v>
      </c>
    </row>
    <row r="4" spans="1:10" x14ac:dyDescent="0.3">
      <c r="A4" t="s">
        <v>18</v>
      </c>
      <c r="B4">
        <v>10000000</v>
      </c>
      <c r="D4" t="s">
        <v>3</v>
      </c>
      <c r="E4" s="6">
        <v>1</v>
      </c>
    </row>
    <row r="5" spans="1:10" x14ac:dyDescent="0.3">
      <c r="B5" t="s">
        <v>17</v>
      </c>
      <c r="D5" t="s">
        <v>53</v>
      </c>
      <c r="E5" s="6">
        <v>0.1</v>
      </c>
    </row>
    <row r="6" spans="1:10" x14ac:dyDescent="0.3">
      <c r="A6" t="s">
        <v>3</v>
      </c>
      <c r="B6">
        <v>1</v>
      </c>
      <c r="D6" t="s">
        <v>55</v>
      </c>
      <c r="E6" s="6">
        <v>0.1</v>
      </c>
    </row>
    <row r="7" spans="1:10" x14ac:dyDescent="0.3">
      <c r="A7" t="s">
        <v>6</v>
      </c>
      <c r="B7">
        <v>0.51</v>
      </c>
      <c r="D7" t="s">
        <v>56</v>
      </c>
      <c r="E7" s="6">
        <v>0.1</v>
      </c>
    </row>
    <row r="8" spans="1:10" x14ac:dyDescent="0.3">
      <c r="A8" t="s">
        <v>5</v>
      </c>
      <c r="B8">
        <v>0.1</v>
      </c>
      <c r="D8" t="s">
        <v>6</v>
      </c>
      <c r="E8" s="6">
        <v>0.6</v>
      </c>
    </row>
    <row r="9" spans="1:10" x14ac:dyDescent="0.3">
      <c r="A9" t="s">
        <v>16</v>
      </c>
      <c r="B9">
        <v>0.1</v>
      </c>
      <c r="D9" t="s">
        <v>9</v>
      </c>
      <c r="E9" s="6">
        <v>0.1</v>
      </c>
    </row>
    <row r="10" spans="1:10" x14ac:dyDescent="0.3">
      <c r="A10" t="s">
        <v>4</v>
      </c>
      <c r="B10">
        <v>0.1</v>
      </c>
    </row>
    <row r="11" spans="1:10" x14ac:dyDescent="0.3">
      <c r="A11" t="s">
        <v>9</v>
      </c>
      <c r="B11">
        <f>B6-SUM(B7:B10)</f>
        <v>0.19000000000000006</v>
      </c>
    </row>
    <row r="12" spans="1:10" x14ac:dyDescent="0.3">
      <c r="A12" t="s">
        <v>52</v>
      </c>
    </row>
    <row r="14" spans="1:10" x14ac:dyDescent="0.3">
      <c r="A14" t="s">
        <v>1</v>
      </c>
    </row>
    <row r="15" spans="1:10" x14ac:dyDescent="0.3">
      <c r="A15" s="1" t="s">
        <v>19</v>
      </c>
      <c r="B15" s="1" t="s">
        <v>10</v>
      </c>
      <c r="C15" s="1" t="s">
        <v>1</v>
      </c>
      <c r="D15" s="1" t="s">
        <v>40</v>
      </c>
      <c r="E15" s="1" t="s">
        <v>41</v>
      </c>
      <c r="F15" s="1" t="s">
        <v>42</v>
      </c>
      <c r="G15" s="1" t="s">
        <v>43</v>
      </c>
      <c r="H15" s="1" t="s">
        <v>44</v>
      </c>
      <c r="I15" s="1" t="s">
        <v>45</v>
      </c>
      <c r="J15" s="1" t="s">
        <v>46</v>
      </c>
    </row>
    <row r="16" spans="1:10" x14ac:dyDescent="0.3">
      <c r="A16" s="1" t="s">
        <v>3</v>
      </c>
      <c r="B16" s="2">
        <v>10000</v>
      </c>
      <c r="C16" s="3">
        <f t="shared" ref="C16" si="0">$B$4</f>
        <v>10000000</v>
      </c>
      <c r="D16" s="5"/>
      <c r="E16" s="4">
        <f>$B$4</f>
        <v>10000000</v>
      </c>
      <c r="F16" s="4">
        <f>$B$4</f>
        <v>10000000</v>
      </c>
      <c r="G16" s="5"/>
      <c r="H16" s="4">
        <f>$B$4</f>
        <v>10000000</v>
      </c>
      <c r="I16" s="4">
        <f>$B$4</f>
        <v>10000000</v>
      </c>
      <c r="J16" s="4">
        <f>$B$4</f>
        <v>10000000</v>
      </c>
    </row>
    <row r="17" spans="1:13" x14ac:dyDescent="0.3">
      <c r="A17" s="1" t="s">
        <v>6</v>
      </c>
      <c r="B17" s="2"/>
      <c r="C17" s="3"/>
      <c r="D17" s="5"/>
      <c r="E17" s="4"/>
      <c r="F17" s="4"/>
      <c r="G17" s="5"/>
      <c r="H17" s="4"/>
      <c r="I17" s="4"/>
      <c r="J17" s="4"/>
    </row>
    <row r="18" spans="1:13" x14ac:dyDescent="0.3">
      <c r="A18" s="1" t="s">
        <v>5</v>
      </c>
      <c r="B18" s="2"/>
      <c r="C18" s="3"/>
      <c r="D18" s="5"/>
      <c r="E18" s="4"/>
      <c r="F18" s="4"/>
      <c r="G18" s="5"/>
      <c r="H18" s="4"/>
      <c r="I18" s="4"/>
      <c r="J18" s="4"/>
    </row>
    <row r="19" spans="1:13" x14ac:dyDescent="0.3">
      <c r="A19" s="1" t="s">
        <v>16</v>
      </c>
      <c r="B19" s="2"/>
      <c r="C19" s="3"/>
      <c r="D19" s="5"/>
      <c r="E19" s="4"/>
      <c r="F19" s="4"/>
      <c r="G19" s="5"/>
      <c r="H19" s="4"/>
      <c r="I19" s="4"/>
      <c r="J19" s="4"/>
    </row>
    <row r="20" spans="1:13" x14ac:dyDescent="0.3">
      <c r="A20" s="1" t="s">
        <v>4</v>
      </c>
      <c r="B20" s="2"/>
      <c r="C20" s="3"/>
      <c r="D20" s="5"/>
      <c r="E20" s="4"/>
      <c r="F20" s="4"/>
      <c r="G20" s="5"/>
      <c r="H20" s="4"/>
      <c r="I20" s="4"/>
      <c r="J20" s="4"/>
    </row>
    <row r="21" spans="1:13" x14ac:dyDescent="0.3">
      <c r="A21" s="1" t="s">
        <v>9</v>
      </c>
      <c r="B21" s="2"/>
      <c r="C21" s="3"/>
      <c r="D21" s="5"/>
      <c r="E21" s="4"/>
      <c r="F21" s="4"/>
      <c r="G21" s="5"/>
      <c r="H21" s="4"/>
      <c r="I21" s="4"/>
      <c r="J21" s="4"/>
    </row>
    <row r="22" spans="1:13" x14ac:dyDescent="0.3">
      <c r="A22" s="1" t="s">
        <v>52</v>
      </c>
      <c r="B22" s="2">
        <f>SUM(SUM(C39:E39), SUM(C48:M48), SUM(C57:E57), SUM(C66:F66), SUM(C75:E75),SUM(C84:E84), SUM(C93:E93), SUM(C102:D102), SUM(C111:E111)) / 2</f>
        <v>17500000</v>
      </c>
      <c r="C22" s="3">
        <f>SUM(SUM(C39:E39), SUM(C48:M48), SUM(C57:E57), SUM(C66:F66), SUM(C75:E75),SUM(C84:E84), SUM(C93:E93), SUM(C102:D102), SUM(C111:E111)) / 2</f>
        <v>17500000</v>
      </c>
      <c r="D22" s="5"/>
      <c r="E22" s="4"/>
      <c r="F22" s="4"/>
      <c r="G22" s="5"/>
      <c r="H22" s="4"/>
      <c r="I22" s="4"/>
      <c r="J22" s="4"/>
    </row>
    <row r="24" spans="1:13" x14ac:dyDescent="0.3">
      <c r="A24" s="1" t="s">
        <v>19</v>
      </c>
      <c r="B24" s="1" t="s">
        <v>47</v>
      </c>
      <c r="C24" s="1" t="s">
        <v>48</v>
      </c>
      <c r="D24" s="1" t="s">
        <v>49</v>
      </c>
      <c r="E24" s="1" t="s">
        <v>50</v>
      </c>
      <c r="F24" s="1" t="s">
        <v>57</v>
      </c>
      <c r="G24" s="1" t="s">
        <v>59</v>
      </c>
      <c r="H24" s="1" t="s">
        <v>51</v>
      </c>
      <c r="I24" s="1" t="s">
        <v>51</v>
      </c>
      <c r="J24" s="1" t="s">
        <v>51</v>
      </c>
      <c r="K24" s="1" t="s">
        <v>51</v>
      </c>
      <c r="L24" s="1" t="s">
        <v>51</v>
      </c>
      <c r="M24" s="1" t="s">
        <v>51</v>
      </c>
    </row>
    <row r="25" spans="1:13" x14ac:dyDescent="0.3">
      <c r="A25" s="1" t="s">
        <v>3</v>
      </c>
      <c r="B25" s="5"/>
      <c r="C25" s="4">
        <f>$B$4 + C31</f>
        <v>136000000</v>
      </c>
      <c r="D25" s="4">
        <f>$B$4 + D31</f>
        <v>21520000</v>
      </c>
      <c r="E25" s="4">
        <f>$B$4</f>
        <v>10000000</v>
      </c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1" t="s">
        <v>53</v>
      </c>
      <c r="B26" s="5"/>
      <c r="C26" s="4">
        <f>($B$4 + C$31)*$E5</f>
        <v>13600000</v>
      </c>
      <c r="D26" s="4">
        <f>($B$4 + D$31)*$E5</f>
        <v>2152000</v>
      </c>
      <c r="E26" s="4"/>
      <c r="F26" s="2">
        <f>F$31*$E5</f>
        <v>180000</v>
      </c>
      <c r="G26" s="2">
        <f>G$31*$E5</f>
        <v>660000</v>
      </c>
      <c r="H26" s="2">
        <f t="shared" ref="H26:J26" si="1">H$31*$E5</f>
        <v>180000</v>
      </c>
      <c r="I26" s="2">
        <f t="shared" si="1"/>
        <v>240000</v>
      </c>
      <c r="J26" s="2">
        <f t="shared" si="1"/>
        <v>180000</v>
      </c>
      <c r="K26" s="2">
        <f t="shared" ref="K26:M26" si="2">K$31*$E5</f>
        <v>180000</v>
      </c>
      <c r="L26" s="2">
        <f t="shared" si="2"/>
        <v>120000</v>
      </c>
      <c r="M26" s="2">
        <f t="shared" si="2"/>
        <v>180000</v>
      </c>
    </row>
    <row r="27" spans="1:13" x14ac:dyDescent="0.3">
      <c r="A27" s="1" t="s">
        <v>55</v>
      </c>
      <c r="B27" s="5"/>
      <c r="C27" s="4">
        <f t="shared" ref="C27:D30" si="3">($B$4 + C$31)*$E6</f>
        <v>13600000</v>
      </c>
      <c r="D27" s="4">
        <f t="shared" si="3"/>
        <v>2152000</v>
      </c>
      <c r="E27" s="4"/>
      <c r="F27" s="2">
        <f t="shared" ref="F27:G30" si="4">F$31*$E6</f>
        <v>180000</v>
      </c>
      <c r="G27" s="2">
        <f t="shared" si="4"/>
        <v>660000</v>
      </c>
      <c r="H27" s="2">
        <f t="shared" ref="H27:J27" si="5">H$31*$E6</f>
        <v>180000</v>
      </c>
      <c r="I27" s="2">
        <f t="shared" si="5"/>
        <v>240000</v>
      </c>
      <c r="J27" s="2">
        <f t="shared" si="5"/>
        <v>180000</v>
      </c>
      <c r="K27" s="2">
        <f t="shared" ref="K27:M27" si="6">K$31*$E6</f>
        <v>180000</v>
      </c>
      <c r="L27" s="2">
        <f t="shared" si="6"/>
        <v>120000</v>
      </c>
      <c r="M27" s="2">
        <f t="shared" si="6"/>
        <v>180000</v>
      </c>
    </row>
    <row r="28" spans="1:13" x14ac:dyDescent="0.3">
      <c r="A28" s="1" t="s">
        <v>56</v>
      </c>
      <c r="B28" s="5"/>
      <c r="C28" s="4">
        <f t="shared" si="3"/>
        <v>13600000</v>
      </c>
      <c r="D28" s="4">
        <f t="shared" si="3"/>
        <v>2152000</v>
      </c>
      <c r="E28" s="4"/>
      <c r="F28" s="2">
        <f t="shared" si="4"/>
        <v>180000</v>
      </c>
      <c r="G28" s="2">
        <f t="shared" si="4"/>
        <v>660000</v>
      </c>
      <c r="H28" s="2">
        <f t="shared" ref="H28:J28" si="7">H$31*$E7</f>
        <v>180000</v>
      </c>
      <c r="I28" s="2">
        <f t="shared" si="7"/>
        <v>240000</v>
      </c>
      <c r="J28" s="2">
        <f t="shared" si="7"/>
        <v>180000</v>
      </c>
      <c r="K28" s="2">
        <f t="shared" ref="K28:M28" si="8">K$31*$E7</f>
        <v>180000</v>
      </c>
      <c r="L28" s="2">
        <f t="shared" si="8"/>
        <v>120000</v>
      </c>
      <c r="M28" s="2">
        <f t="shared" si="8"/>
        <v>180000</v>
      </c>
    </row>
    <row r="29" spans="1:13" x14ac:dyDescent="0.3">
      <c r="A29" s="1" t="s">
        <v>6</v>
      </c>
      <c r="B29" s="5"/>
      <c r="C29" s="4">
        <f t="shared" si="3"/>
        <v>81600000</v>
      </c>
      <c r="D29" s="4">
        <f t="shared" si="3"/>
        <v>12912000</v>
      </c>
      <c r="E29" s="4"/>
      <c r="F29" s="2">
        <f t="shared" si="4"/>
        <v>1080000</v>
      </c>
      <c r="G29" s="2">
        <f t="shared" si="4"/>
        <v>3960000</v>
      </c>
      <c r="H29" s="2">
        <f t="shared" ref="H29:J29" si="9">H$31*$E8</f>
        <v>1080000</v>
      </c>
      <c r="I29" s="2">
        <f t="shared" si="9"/>
        <v>1440000</v>
      </c>
      <c r="J29" s="2">
        <f t="shared" si="9"/>
        <v>1080000</v>
      </c>
      <c r="K29" s="2">
        <f t="shared" ref="K29:M29" si="10">K$31*$E8</f>
        <v>1080000</v>
      </c>
      <c r="L29" s="2">
        <f t="shared" si="10"/>
        <v>720000</v>
      </c>
      <c r="M29" s="2">
        <f t="shared" si="10"/>
        <v>1080000</v>
      </c>
    </row>
    <row r="30" spans="1:13" x14ac:dyDescent="0.3">
      <c r="A30" s="1" t="s">
        <v>9</v>
      </c>
      <c r="B30" s="5"/>
      <c r="C30" s="4">
        <f t="shared" si="3"/>
        <v>13600000</v>
      </c>
      <c r="D30" s="4">
        <f t="shared" si="3"/>
        <v>2152000</v>
      </c>
      <c r="E30" s="4"/>
      <c r="F30" s="2">
        <f t="shared" si="4"/>
        <v>180000</v>
      </c>
      <c r="G30" s="2">
        <f t="shared" si="4"/>
        <v>660000</v>
      </c>
      <c r="H30" s="2">
        <f t="shared" ref="H30:J30" si="11">H$31*$E9</f>
        <v>180000</v>
      </c>
      <c r="I30" s="2">
        <f t="shared" si="11"/>
        <v>240000</v>
      </c>
      <c r="J30" s="2">
        <f t="shared" si="11"/>
        <v>180000</v>
      </c>
      <c r="K30" s="2">
        <f t="shared" ref="K30:M30" si="12">K$31*$E9</f>
        <v>180000</v>
      </c>
      <c r="L30" s="2">
        <f t="shared" si="12"/>
        <v>120000</v>
      </c>
      <c r="M30" s="2">
        <f t="shared" si="12"/>
        <v>180000</v>
      </c>
    </row>
    <row r="31" spans="1:13" x14ac:dyDescent="0.3">
      <c r="A31" s="1" t="s">
        <v>52</v>
      </c>
      <c r="B31" s="5">
        <f>SUM(C29:D29)</f>
        <v>94512000</v>
      </c>
      <c r="C31" s="4">
        <f>SUM(B38,B47,B56,B65,B74,B83,B92,B101,B110)</f>
        <v>126000000</v>
      </c>
      <c r="D31" s="4">
        <f>SUM(F29:M29)</f>
        <v>11520000</v>
      </c>
      <c r="E31" s="4"/>
      <c r="F31" s="2">
        <f>B35</f>
        <v>1800000</v>
      </c>
      <c r="G31" s="2">
        <f>B44</f>
        <v>6600000</v>
      </c>
      <c r="H31" s="2">
        <f>B53</f>
        <v>1800000</v>
      </c>
      <c r="I31" s="2">
        <f>B63</f>
        <v>2400000</v>
      </c>
      <c r="J31" s="2">
        <f>B72</f>
        <v>1800000</v>
      </c>
      <c r="K31" s="2">
        <f>B89</f>
        <v>1800000</v>
      </c>
      <c r="L31" s="2">
        <f>B98</f>
        <v>1200000</v>
      </c>
      <c r="M31" s="2">
        <f>B107</f>
        <v>1800000</v>
      </c>
    </row>
    <row r="33" spans="1:14" x14ac:dyDescent="0.3">
      <c r="A33" s="1" t="s">
        <v>19</v>
      </c>
      <c r="B33" s="1" t="s">
        <v>58</v>
      </c>
      <c r="C33" s="1" t="s">
        <v>11</v>
      </c>
      <c r="D33" s="1" t="s">
        <v>12</v>
      </c>
      <c r="E33" s="1" t="s">
        <v>13</v>
      </c>
      <c r="F33" s="1" t="s">
        <v>72</v>
      </c>
    </row>
    <row r="34" spans="1:14" x14ac:dyDescent="0.3">
      <c r="A34" s="1" t="s">
        <v>3</v>
      </c>
      <c r="B34" s="5"/>
      <c r="C34" s="4">
        <f>$B$4</f>
        <v>10000000</v>
      </c>
      <c r="D34" s="4">
        <f>$B$4</f>
        <v>10000000</v>
      </c>
      <c r="E34" s="4">
        <f>$B$4</f>
        <v>10000000</v>
      </c>
      <c r="F34" s="4">
        <f>$B$4</f>
        <v>10000000</v>
      </c>
    </row>
    <row r="35" spans="1:14" x14ac:dyDescent="0.3">
      <c r="A35" s="1" t="s">
        <v>53</v>
      </c>
      <c r="B35" s="5">
        <f>$B$40*E5</f>
        <v>1800000</v>
      </c>
      <c r="C35" s="4">
        <f>C$34*E5</f>
        <v>1000000</v>
      </c>
      <c r="D35" s="4">
        <f>D$34*E5</f>
        <v>1000000</v>
      </c>
      <c r="E35" s="4">
        <f>E$34*E5</f>
        <v>1000000</v>
      </c>
      <c r="F35" s="4">
        <f>F$34*E5</f>
        <v>1000000</v>
      </c>
    </row>
    <row r="36" spans="1:14" x14ac:dyDescent="0.3">
      <c r="A36" s="1" t="s">
        <v>55</v>
      </c>
      <c r="B36" s="5">
        <f t="shared" ref="B36:B39" si="13">$B$40*E6</f>
        <v>1800000</v>
      </c>
      <c r="C36" s="4">
        <f t="shared" ref="C36:C39" si="14">C$34*E6</f>
        <v>1000000</v>
      </c>
      <c r="D36" s="4">
        <f t="shared" ref="D36:D39" si="15">D$34*E6</f>
        <v>1000000</v>
      </c>
      <c r="E36" s="4">
        <f t="shared" ref="E36:E39" si="16">E$34*E6</f>
        <v>1000000</v>
      </c>
      <c r="F36" s="4">
        <f t="shared" ref="F36:F39" si="17">F$34*E6</f>
        <v>1000000</v>
      </c>
    </row>
    <row r="37" spans="1:14" x14ac:dyDescent="0.3">
      <c r="A37" s="1" t="s">
        <v>56</v>
      </c>
      <c r="B37" s="5">
        <f t="shared" si="13"/>
        <v>1800000</v>
      </c>
      <c r="C37" s="4">
        <f t="shared" si="14"/>
        <v>1000000</v>
      </c>
      <c r="D37" s="4">
        <f t="shared" si="15"/>
        <v>1000000</v>
      </c>
      <c r="E37" s="4">
        <f t="shared" si="16"/>
        <v>1000000</v>
      </c>
      <c r="F37" s="4">
        <f t="shared" si="17"/>
        <v>1000000</v>
      </c>
    </row>
    <row r="38" spans="1:14" x14ac:dyDescent="0.3">
      <c r="A38" s="1" t="s">
        <v>6</v>
      </c>
      <c r="B38" s="5">
        <f t="shared" si="13"/>
        <v>10800000</v>
      </c>
      <c r="C38" s="4">
        <f t="shared" si="14"/>
        <v>6000000</v>
      </c>
      <c r="D38" s="4">
        <f t="shared" si="15"/>
        <v>6000000</v>
      </c>
      <c r="E38" s="4">
        <f t="shared" si="16"/>
        <v>6000000</v>
      </c>
      <c r="F38" s="4">
        <f t="shared" si="17"/>
        <v>6000000</v>
      </c>
    </row>
    <row r="39" spans="1:14" x14ac:dyDescent="0.3">
      <c r="A39" s="1" t="s">
        <v>9</v>
      </c>
      <c r="B39" s="5">
        <f t="shared" si="13"/>
        <v>1800000</v>
      </c>
      <c r="C39" s="4">
        <f t="shared" si="14"/>
        <v>1000000</v>
      </c>
      <c r="D39" s="4">
        <f t="shared" si="15"/>
        <v>1000000</v>
      </c>
      <c r="E39" s="4">
        <f t="shared" si="16"/>
        <v>1000000</v>
      </c>
      <c r="F39" s="4">
        <f t="shared" si="17"/>
        <v>1000000</v>
      </c>
    </row>
    <row r="40" spans="1:14" x14ac:dyDescent="0.3">
      <c r="A40" s="1" t="s">
        <v>52</v>
      </c>
      <c r="B40" s="5">
        <f>SUM(C38:E38)</f>
        <v>18000000</v>
      </c>
      <c r="C40" s="4"/>
      <c r="D40" s="4"/>
      <c r="E40" s="4"/>
      <c r="F40" s="4"/>
    </row>
    <row r="42" spans="1:14" x14ac:dyDescent="0.3">
      <c r="A42" s="1" t="s">
        <v>19</v>
      </c>
      <c r="B42" s="1" t="s">
        <v>60</v>
      </c>
      <c r="C42" s="1" t="s">
        <v>61</v>
      </c>
      <c r="D42" s="1" t="s">
        <v>62</v>
      </c>
      <c r="E42" s="1" t="s">
        <v>63</v>
      </c>
      <c r="F42" s="1" t="s">
        <v>64</v>
      </c>
      <c r="G42" s="1" t="s">
        <v>65</v>
      </c>
      <c r="H42" s="1" t="s">
        <v>66</v>
      </c>
      <c r="I42" s="1" t="s">
        <v>67</v>
      </c>
      <c r="J42" s="1" t="s">
        <v>68</v>
      </c>
      <c r="K42" s="1" t="s">
        <v>69</v>
      </c>
      <c r="L42" s="1" t="s">
        <v>70</v>
      </c>
      <c r="M42" s="1" t="s">
        <v>71</v>
      </c>
      <c r="N42" s="1" t="s">
        <v>73</v>
      </c>
    </row>
    <row r="43" spans="1:14" x14ac:dyDescent="0.3">
      <c r="A43" s="1" t="s">
        <v>3</v>
      </c>
      <c r="B43" s="5"/>
      <c r="C43" s="4">
        <f>$B$4</f>
        <v>10000000</v>
      </c>
      <c r="D43" s="4">
        <f t="shared" ref="D43:N43" si="18">$B$4</f>
        <v>10000000</v>
      </c>
      <c r="E43" s="4">
        <f t="shared" si="18"/>
        <v>10000000</v>
      </c>
      <c r="F43" s="4">
        <f t="shared" si="18"/>
        <v>10000000</v>
      </c>
      <c r="G43" s="4">
        <f t="shared" si="18"/>
        <v>10000000</v>
      </c>
      <c r="H43" s="4">
        <f t="shared" si="18"/>
        <v>10000000</v>
      </c>
      <c r="I43" s="4">
        <f t="shared" si="18"/>
        <v>10000000</v>
      </c>
      <c r="J43" s="4">
        <f t="shared" si="18"/>
        <v>10000000</v>
      </c>
      <c r="K43" s="4">
        <f t="shared" si="18"/>
        <v>10000000</v>
      </c>
      <c r="L43" s="4">
        <f t="shared" si="18"/>
        <v>10000000</v>
      </c>
      <c r="M43" s="4">
        <f t="shared" si="18"/>
        <v>10000000</v>
      </c>
      <c r="N43" s="4">
        <f t="shared" si="18"/>
        <v>10000000</v>
      </c>
    </row>
    <row r="44" spans="1:14" x14ac:dyDescent="0.3">
      <c r="A44" s="1" t="s">
        <v>53</v>
      </c>
      <c r="B44" s="5">
        <f>B$49*E5</f>
        <v>6600000</v>
      </c>
      <c r="C44" s="4">
        <f>C$43*$E5</f>
        <v>1000000</v>
      </c>
      <c r="D44" s="4">
        <f>D$43*$E5</f>
        <v>1000000</v>
      </c>
      <c r="E44" s="4">
        <f t="shared" ref="E44:M44" si="19">E$43*$E5</f>
        <v>1000000</v>
      </c>
      <c r="F44" s="4">
        <f t="shared" si="19"/>
        <v>1000000</v>
      </c>
      <c r="G44" s="4">
        <f t="shared" si="19"/>
        <v>1000000</v>
      </c>
      <c r="H44" s="4">
        <f t="shared" si="19"/>
        <v>1000000</v>
      </c>
      <c r="I44" s="4">
        <f t="shared" si="19"/>
        <v>1000000</v>
      </c>
      <c r="J44" s="4">
        <f t="shared" si="19"/>
        <v>1000000</v>
      </c>
      <c r="K44" s="4">
        <f t="shared" si="19"/>
        <v>1000000</v>
      </c>
      <c r="L44" s="4">
        <f t="shared" si="19"/>
        <v>1000000</v>
      </c>
      <c r="M44" s="4">
        <f t="shared" si="19"/>
        <v>1000000</v>
      </c>
      <c r="N44" s="4">
        <f t="shared" ref="N44" si="20">N$43*$E5</f>
        <v>1000000</v>
      </c>
    </row>
    <row r="45" spans="1:14" x14ac:dyDescent="0.3">
      <c r="A45" s="1" t="s">
        <v>55</v>
      </c>
      <c r="B45" s="5">
        <f>B$49*E6</f>
        <v>6600000</v>
      </c>
      <c r="C45" s="4">
        <f>C$43*$E6</f>
        <v>1000000</v>
      </c>
      <c r="D45" s="4">
        <f>D$43*$E6</f>
        <v>1000000</v>
      </c>
      <c r="E45" s="4">
        <f t="shared" ref="E45:M45" si="21">E$43*$E6</f>
        <v>1000000</v>
      </c>
      <c r="F45" s="4">
        <f t="shared" si="21"/>
        <v>1000000</v>
      </c>
      <c r="G45" s="4">
        <f t="shared" si="21"/>
        <v>1000000</v>
      </c>
      <c r="H45" s="4">
        <f t="shared" si="21"/>
        <v>1000000</v>
      </c>
      <c r="I45" s="4">
        <f t="shared" si="21"/>
        <v>1000000</v>
      </c>
      <c r="J45" s="4">
        <f t="shared" si="21"/>
        <v>1000000</v>
      </c>
      <c r="K45" s="4">
        <f t="shared" si="21"/>
        <v>1000000</v>
      </c>
      <c r="L45" s="4">
        <f t="shared" si="21"/>
        <v>1000000</v>
      </c>
      <c r="M45" s="4">
        <f t="shared" si="21"/>
        <v>1000000</v>
      </c>
      <c r="N45" s="4">
        <f t="shared" ref="N45" si="22">N$43*$E6</f>
        <v>1000000</v>
      </c>
    </row>
    <row r="46" spans="1:14" x14ac:dyDescent="0.3">
      <c r="A46" s="1" t="s">
        <v>56</v>
      </c>
      <c r="B46" s="5">
        <f t="shared" ref="B46:B48" si="23">B$49*E7</f>
        <v>6600000</v>
      </c>
      <c r="C46" s="4">
        <f t="shared" ref="C46:D48" si="24">C$43*$E7</f>
        <v>1000000</v>
      </c>
      <c r="D46" s="4">
        <f t="shared" si="24"/>
        <v>1000000</v>
      </c>
      <c r="E46" s="4">
        <f t="shared" ref="E46:M46" si="25">E$43*$E7</f>
        <v>1000000</v>
      </c>
      <c r="F46" s="4">
        <f t="shared" si="25"/>
        <v>1000000</v>
      </c>
      <c r="G46" s="4">
        <f t="shared" si="25"/>
        <v>1000000</v>
      </c>
      <c r="H46" s="4">
        <f t="shared" si="25"/>
        <v>1000000</v>
      </c>
      <c r="I46" s="4">
        <f t="shared" si="25"/>
        <v>1000000</v>
      </c>
      <c r="J46" s="4">
        <f t="shared" si="25"/>
        <v>1000000</v>
      </c>
      <c r="K46" s="4">
        <f t="shared" si="25"/>
        <v>1000000</v>
      </c>
      <c r="L46" s="4">
        <f t="shared" si="25"/>
        <v>1000000</v>
      </c>
      <c r="M46" s="4">
        <f t="shared" si="25"/>
        <v>1000000</v>
      </c>
      <c r="N46" s="4">
        <f t="shared" ref="N46" si="26">N$43*$E7</f>
        <v>1000000</v>
      </c>
    </row>
    <row r="47" spans="1:14" x14ac:dyDescent="0.3">
      <c r="A47" s="1" t="s">
        <v>6</v>
      </c>
      <c r="B47" s="5">
        <f t="shared" si="23"/>
        <v>39600000</v>
      </c>
      <c r="C47" s="4">
        <f t="shared" si="24"/>
        <v>6000000</v>
      </c>
      <c r="D47" s="4">
        <f t="shared" si="24"/>
        <v>6000000</v>
      </c>
      <c r="E47" s="4">
        <f t="shared" ref="E47:M47" si="27">E$43*$E8</f>
        <v>6000000</v>
      </c>
      <c r="F47" s="4">
        <f t="shared" si="27"/>
        <v>6000000</v>
      </c>
      <c r="G47" s="4">
        <f t="shared" si="27"/>
        <v>6000000</v>
      </c>
      <c r="H47" s="4">
        <f t="shared" si="27"/>
        <v>6000000</v>
      </c>
      <c r="I47" s="4">
        <f t="shared" si="27"/>
        <v>6000000</v>
      </c>
      <c r="J47" s="4">
        <f t="shared" si="27"/>
        <v>6000000</v>
      </c>
      <c r="K47" s="4">
        <f t="shared" si="27"/>
        <v>6000000</v>
      </c>
      <c r="L47" s="4">
        <f t="shared" si="27"/>
        <v>6000000</v>
      </c>
      <c r="M47" s="4">
        <f t="shared" si="27"/>
        <v>6000000</v>
      </c>
      <c r="N47" s="4">
        <f t="shared" ref="N47" si="28">N$43*$E8</f>
        <v>6000000</v>
      </c>
    </row>
    <row r="48" spans="1:14" x14ac:dyDescent="0.3">
      <c r="A48" s="1" t="s">
        <v>9</v>
      </c>
      <c r="B48" s="5">
        <f t="shared" si="23"/>
        <v>6600000</v>
      </c>
      <c r="C48" s="4">
        <f t="shared" si="24"/>
        <v>1000000</v>
      </c>
      <c r="D48" s="4">
        <f t="shared" si="24"/>
        <v>1000000</v>
      </c>
      <c r="E48" s="4">
        <f t="shared" ref="E48:M48" si="29">E$43*$E9</f>
        <v>1000000</v>
      </c>
      <c r="F48" s="4">
        <f t="shared" si="29"/>
        <v>1000000</v>
      </c>
      <c r="G48" s="4">
        <f t="shared" si="29"/>
        <v>1000000</v>
      </c>
      <c r="H48" s="4">
        <f t="shared" si="29"/>
        <v>1000000</v>
      </c>
      <c r="I48" s="4">
        <f t="shared" si="29"/>
        <v>1000000</v>
      </c>
      <c r="J48" s="4">
        <f t="shared" si="29"/>
        <v>1000000</v>
      </c>
      <c r="K48" s="4">
        <f t="shared" si="29"/>
        <v>1000000</v>
      </c>
      <c r="L48" s="4">
        <f t="shared" si="29"/>
        <v>1000000</v>
      </c>
      <c r="M48" s="4">
        <f t="shared" si="29"/>
        <v>1000000</v>
      </c>
      <c r="N48" s="4">
        <f t="shared" ref="N48" si="30">N$43*$E9</f>
        <v>1000000</v>
      </c>
    </row>
    <row r="49" spans="1:14" x14ac:dyDescent="0.3">
      <c r="A49" s="1" t="s">
        <v>52</v>
      </c>
      <c r="B49" s="5">
        <f>SUM(C47:M47)</f>
        <v>66000000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1" spans="1:14" x14ac:dyDescent="0.3">
      <c r="A51" s="1" t="s">
        <v>19</v>
      </c>
      <c r="B51" s="1" t="s">
        <v>14</v>
      </c>
      <c r="C51" s="1" t="s">
        <v>2</v>
      </c>
      <c r="D51" s="1" t="s">
        <v>7</v>
      </c>
      <c r="E51" s="1" t="s">
        <v>8</v>
      </c>
    </row>
    <row r="52" spans="1:14" x14ac:dyDescent="0.3">
      <c r="A52" s="1" t="s">
        <v>3</v>
      </c>
      <c r="B52" s="5"/>
      <c r="C52" s="4">
        <f>$B$4</f>
        <v>10000000</v>
      </c>
      <c r="D52" s="4">
        <f>$B$4</f>
        <v>10000000</v>
      </c>
      <c r="E52" s="4">
        <f>$B$4</f>
        <v>10000000</v>
      </c>
    </row>
    <row r="53" spans="1:14" x14ac:dyDescent="0.3">
      <c r="A53" s="1" t="s">
        <v>53</v>
      </c>
      <c r="B53" s="5">
        <f>B$58*E5</f>
        <v>1800000</v>
      </c>
      <c r="C53" s="4">
        <f>C$52*$E5</f>
        <v>1000000</v>
      </c>
      <c r="D53" s="4">
        <f t="shared" ref="D53:E53" si="31">D$52*$E5</f>
        <v>1000000</v>
      </c>
      <c r="E53" s="4">
        <f t="shared" si="31"/>
        <v>1000000</v>
      </c>
    </row>
    <row r="54" spans="1:14" x14ac:dyDescent="0.3">
      <c r="A54" s="1" t="s">
        <v>55</v>
      </c>
      <c r="B54" s="5">
        <f t="shared" ref="B54:B57" si="32">B$58*E6</f>
        <v>1800000</v>
      </c>
      <c r="C54" s="4">
        <f t="shared" ref="C54:E57" si="33">C$52*$E6</f>
        <v>1000000</v>
      </c>
      <c r="D54" s="4">
        <f t="shared" si="33"/>
        <v>1000000</v>
      </c>
      <c r="E54" s="4">
        <f t="shared" si="33"/>
        <v>1000000</v>
      </c>
    </row>
    <row r="55" spans="1:14" x14ac:dyDescent="0.3">
      <c r="A55" s="1" t="s">
        <v>56</v>
      </c>
      <c r="B55" s="5">
        <f t="shared" si="32"/>
        <v>1800000</v>
      </c>
      <c r="C55" s="4">
        <f t="shared" si="33"/>
        <v>1000000</v>
      </c>
      <c r="D55" s="4">
        <f t="shared" si="33"/>
        <v>1000000</v>
      </c>
      <c r="E55" s="4">
        <f t="shared" si="33"/>
        <v>1000000</v>
      </c>
    </row>
    <row r="56" spans="1:14" x14ac:dyDescent="0.3">
      <c r="A56" s="1" t="s">
        <v>6</v>
      </c>
      <c r="B56" s="5">
        <f t="shared" si="32"/>
        <v>10800000</v>
      </c>
      <c r="C56" s="4">
        <f t="shared" si="33"/>
        <v>6000000</v>
      </c>
      <c r="D56" s="4">
        <f t="shared" si="33"/>
        <v>6000000</v>
      </c>
      <c r="E56" s="4">
        <f t="shared" si="33"/>
        <v>6000000</v>
      </c>
    </row>
    <row r="57" spans="1:14" x14ac:dyDescent="0.3">
      <c r="A57" s="1" t="s">
        <v>9</v>
      </c>
      <c r="B57" s="5">
        <f t="shared" si="32"/>
        <v>1800000</v>
      </c>
      <c r="C57" s="4">
        <f t="shared" si="33"/>
        <v>1000000</v>
      </c>
      <c r="D57" s="4">
        <f t="shared" si="33"/>
        <v>1000000</v>
      </c>
      <c r="E57" s="4">
        <f t="shared" si="33"/>
        <v>1000000</v>
      </c>
    </row>
    <row r="58" spans="1:14" x14ac:dyDescent="0.3">
      <c r="A58" s="1" t="s">
        <v>52</v>
      </c>
      <c r="B58" s="5">
        <f>SUM(C56:E56)</f>
        <v>18000000</v>
      </c>
      <c r="C58" s="4"/>
      <c r="D58" s="4"/>
      <c r="E58" s="4"/>
    </row>
    <row r="60" spans="1:14" x14ac:dyDescent="0.3">
      <c r="A60" s="1" t="s">
        <v>19</v>
      </c>
      <c r="B60" s="1" t="s">
        <v>15</v>
      </c>
      <c r="C60" s="1" t="s">
        <v>22</v>
      </c>
      <c r="D60" s="1" t="s">
        <v>23</v>
      </c>
      <c r="E60" s="1" t="s">
        <v>24</v>
      </c>
      <c r="F60" s="1" t="s">
        <v>25</v>
      </c>
    </row>
    <row r="61" spans="1:14" x14ac:dyDescent="0.3">
      <c r="A61" s="1" t="s">
        <v>3</v>
      </c>
      <c r="B61" s="5"/>
      <c r="C61" s="4">
        <f>$B$4</f>
        <v>10000000</v>
      </c>
      <c r="D61" s="4">
        <f>$B$4</f>
        <v>10000000</v>
      </c>
      <c r="E61" s="4">
        <f>$B$4</f>
        <v>10000000</v>
      </c>
      <c r="F61" s="4">
        <f>$B$4</f>
        <v>10000000</v>
      </c>
    </row>
    <row r="62" spans="1:14" x14ac:dyDescent="0.3">
      <c r="A62" s="1" t="s">
        <v>53</v>
      </c>
      <c r="B62" s="5">
        <f>B$67*E5</f>
        <v>2400000</v>
      </c>
      <c r="C62" s="4">
        <f>C$61*$E5</f>
        <v>1000000</v>
      </c>
      <c r="D62" s="4">
        <f t="shared" ref="D62:F62" si="34">D$61*$E5</f>
        <v>1000000</v>
      </c>
      <c r="E62" s="4">
        <f t="shared" si="34"/>
        <v>1000000</v>
      </c>
      <c r="F62" s="4">
        <f t="shared" si="34"/>
        <v>1000000</v>
      </c>
    </row>
    <row r="63" spans="1:14" x14ac:dyDescent="0.3">
      <c r="A63" s="1" t="s">
        <v>55</v>
      </c>
      <c r="B63" s="5">
        <f t="shared" ref="B63:B66" si="35">B$67*E6</f>
        <v>2400000</v>
      </c>
      <c r="C63" s="4">
        <f t="shared" ref="C63:F66" si="36">C$61*$E6</f>
        <v>1000000</v>
      </c>
      <c r="D63" s="4">
        <f t="shared" si="36"/>
        <v>1000000</v>
      </c>
      <c r="E63" s="4">
        <f t="shared" si="36"/>
        <v>1000000</v>
      </c>
      <c r="F63" s="4">
        <f t="shared" si="36"/>
        <v>1000000</v>
      </c>
    </row>
    <row r="64" spans="1:14" x14ac:dyDescent="0.3">
      <c r="A64" s="1" t="s">
        <v>56</v>
      </c>
      <c r="B64" s="5">
        <f t="shared" si="35"/>
        <v>2400000</v>
      </c>
      <c r="C64" s="4">
        <f t="shared" si="36"/>
        <v>1000000</v>
      </c>
      <c r="D64" s="4">
        <f t="shared" si="36"/>
        <v>1000000</v>
      </c>
      <c r="E64" s="4">
        <f t="shared" si="36"/>
        <v>1000000</v>
      </c>
      <c r="F64" s="4">
        <f t="shared" si="36"/>
        <v>1000000</v>
      </c>
    </row>
    <row r="65" spans="1:6" x14ac:dyDescent="0.3">
      <c r="A65" s="1" t="s">
        <v>6</v>
      </c>
      <c r="B65" s="5">
        <f t="shared" si="35"/>
        <v>14400000</v>
      </c>
      <c r="C65" s="4">
        <f t="shared" si="36"/>
        <v>6000000</v>
      </c>
      <c r="D65" s="4">
        <f t="shared" si="36"/>
        <v>6000000</v>
      </c>
      <c r="E65" s="4">
        <f t="shared" si="36"/>
        <v>6000000</v>
      </c>
      <c r="F65" s="4">
        <f t="shared" si="36"/>
        <v>6000000</v>
      </c>
    </row>
    <row r="66" spans="1:6" x14ac:dyDescent="0.3">
      <c r="A66" s="1" t="s">
        <v>9</v>
      </c>
      <c r="B66" s="5">
        <f t="shared" si="35"/>
        <v>2400000</v>
      </c>
      <c r="C66" s="4">
        <f t="shared" si="36"/>
        <v>1000000</v>
      </c>
      <c r="D66" s="4">
        <f t="shared" si="36"/>
        <v>1000000</v>
      </c>
      <c r="E66" s="4">
        <f t="shared" si="36"/>
        <v>1000000</v>
      </c>
      <c r="F66" s="4">
        <f t="shared" si="36"/>
        <v>1000000</v>
      </c>
    </row>
    <row r="67" spans="1:6" x14ac:dyDescent="0.3">
      <c r="A67" s="1" t="s">
        <v>52</v>
      </c>
      <c r="B67" s="5">
        <f>SUM(C65:F65)</f>
        <v>24000000</v>
      </c>
      <c r="C67" s="4"/>
      <c r="D67" s="4"/>
      <c r="E67" s="4"/>
      <c r="F67" s="4"/>
    </row>
    <row r="69" spans="1:6" x14ac:dyDescent="0.3">
      <c r="A69" s="1" t="s">
        <v>19</v>
      </c>
      <c r="B69" s="1" t="s">
        <v>15</v>
      </c>
      <c r="C69" s="1" t="s">
        <v>26</v>
      </c>
      <c r="D69" s="1" t="s">
        <v>27</v>
      </c>
      <c r="E69" s="1" t="s">
        <v>28</v>
      </c>
    </row>
    <row r="70" spans="1:6" x14ac:dyDescent="0.3">
      <c r="A70" s="1" t="s">
        <v>3</v>
      </c>
      <c r="B70" s="5"/>
      <c r="C70" s="4">
        <f>$B$4</f>
        <v>10000000</v>
      </c>
      <c r="D70" s="4">
        <f>$B$4</f>
        <v>10000000</v>
      </c>
      <c r="E70" s="4">
        <f>$B$4</f>
        <v>10000000</v>
      </c>
    </row>
    <row r="71" spans="1:6" x14ac:dyDescent="0.3">
      <c r="A71" s="1" t="s">
        <v>53</v>
      </c>
      <c r="B71" s="5">
        <f>B$76*E5</f>
        <v>1800000</v>
      </c>
      <c r="C71" s="4">
        <f>C$70*$E5</f>
        <v>1000000</v>
      </c>
      <c r="D71" s="4">
        <f t="shared" ref="D71:E71" si="37">D$70*$E5</f>
        <v>1000000</v>
      </c>
      <c r="E71" s="4">
        <f t="shared" si="37"/>
        <v>1000000</v>
      </c>
    </row>
    <row r="72" spans="1:6" x14ac:dyDescent="0.3">
      <c r="A72" s="1" t="s">
        <v>55</v>
      </c>
      <c r="B72" s="5">
        <f t="shared" ref="B72:B75" si="38">B$76*E6</f>
        <v>1800000</v>
      </c>
      <c r="C72" s="4">
        <f t="shared" ref="C72:E75" si="39">C$70*$E6</f>
        <v>1000000</v>
      </c>
      <c r="D72" s="4">
        <f t="shared" si="39"/>
        <v>1000000</v>
      </c>
      <c r="E72" s="4">
        <f t="shared" si="39"/>
        <v>1000000</v>
      </c>
    </row>
    <row r="73" spans="1:6" x14ac:dyDescent="0.3">
      <c r="A73" s="1" t="s">
        <v>56</v>
      </c>
      <c r="B73" s="5">
        <f t="shared" si="38"/>
        <v>1800000</v>
      </c>
      <c r="C73" s="4">
        <f t="shared" si="39"/>
        <v>1000000</v>
      </c>
      <c r="D73" s="4">
        <f t="shared" si="39"/>
        <v>1000000</v>
      </c>
      <c r="E73" s="4">
        <f t="shared" si="39"/>
        <v>1000000</v>
      </c>
    </row>
    <row r="74" spans="1:6" x14ac:dyDescent="0.3">
      <c r="A74" s="1" t="s">
        <v>6</v>
      </c>
      <c r="B74" s="5">
        <f t="shared" si="38"/>
        <v>10800000</v>
      </c>
      <c r="C74" s="4">
        <f t="shared" si="39"/>
        <v>6000000</v>
      </c>
      <c r="D74" s="4">
        <f t="shared" si="39"/>
        <v>6000000</v>
      </c>
      <c r="E74" s="4">
        <f t="shared" si="39"/>
        <v>6000000</v>
      </c>
    </row>
    <row r="75" spans="1:6" x14ac:dyDescent="0.3">
      <c r="A75" s="1" t="s">
        <v>9</v>
      </c>
      <c r="B75" s="5">
        <f t="shared" si="38"/>
        <v>1800000</v>
      </c>
      <c r="C75" s="4">
        <f t="shared" si="39"/>
        <v>1000000</v>
      </c>
      <c r="D75" s="4">
        <f t="shared" si="39"/>
        <v>1000000</v>
      </c>
      <c r="E75" s="4">
        <f t="shared" si="39"/>
        <v>1000000</v>
      </c>
    </row>
    <row r="76" spans="1:6" x14ac:dyDescent="0.3">
      <c r="A76" s="1" t="s">
        <v>52</v>
      </c>
      <c r="B76" s="5">
        <f>SUM(C74:E74)</f>
        <v>18000000</v>
      </c>
      <c r="C76" s="4"/>
      <c r="D76" s="4"/>
      <c r="E76" s="4"/>
    </row>
    <row r="78" spans="1:6" x14ac:dyDescent="0.3">
      <c r="A78" s="1" t="s">
        <v>19</v>
      </c>
      <c r="B78" s="1" t="s">
        <v>15</v>
      </c>
      <c r="C78" s="1" t="s">
        <v>29</v>
      </c>
      <c r="D78" s="1" t="s">
        <v>30</v>
      </c>
      <c r="E78" s="1" t="s">
        <v>31</v>
      </c>
    </row>
    <row r="79" spans="1:6" x14ac:dyDescent="0.3">
      <c r="A79" s="1" t="s">
        <v>3</v>
      </c>
      <c r="B79" s="5"/>
      <c r="C79" s="4">
        <f>$B$4</f>
        <v>10000000</v>
      </c>
      <c r="D79" s="4">
        <f>$B$4</f>
        <v>10000000</v>
      </c>
      <c r="E79" s="4">
        <f>$B$4</f>
        <v>10000000</v>
      </c>
    </row>
    <row r="80" spans="1:6" x14ac:dyDescent="0.3">
      <c r="A80" s="1" t="s">
        <v>53</v>
      </c>
      <c r="B80" s="5">
        <f>B$85*E5</f>
        <v>1800000</v>
      </c>
      <c r="C80" s="4">
        <f>C$79*$E5</f>
        <v>1000000</v>
      </c>
      <c r="D80" s="4">
        <f t="shared" ref="D80:E80" si="40">D$79*$E5</f>
        <v>1000000</v>
      </c>
      <c r="E80" s="4">
        <f t="shared" si="40"/>
        <v>1000000</v>
      </c>
    </row>
    <row r="81" spans="1:5" x14ac:dyDescent="0.3">
      <c r="A81" s="1" t="s">
        <v>55</v>
      </c>
      <c r="B81" s="5">
        <f t="shared" ref="B81:B84" si="41">B$85*E6</f>
        <v>1800000</v>
      </c>
      <c r="C81" s="4">
        <f t="shared" ref="C81:E84" si="42">C$79*$E6</f>
        <v>1000000</v>
      </c>
      <c r="D81" s="4">
        <f t="shared" si="42"/>
        <v>1000000</v>
      </c>
      <c r="E81" s="4">
        <f t="shared" si="42"/>
        <v>1000000</v>
      </c>
    </row>
    <row r="82" spans="1:5" x14ac:dyDescent="0.3">
      <c r="A82" s="1" t="s">
        <v>56</v>
      </c>
      <c r="B82" s="5">
        <f t="shared" si="41"/>
        <v>1800000</v>
      </c>
      <c r="C82" s="4">
        <f t="shared" si="42"/>
        <v>1000000</v>
      </c>
      <c r="D82" s="4">
        <f t="shared" si="42"/>
        <v>1000000</v>
      </c>
      <c r="E82" s="4">
        <f t="shared" si="42"/>
        <v>1000000</v>
      </c>
    </row>
    <row r="83" spans="1:5" x14ac:dyDescent="0.3">
      <c r="A83" s="1" t="s">
        <v>6</v>
      </c>
      <c r="B83" s="5">
        <f t="shared" si="41"/>
        <v>10800000</v>
      </c>
      <c r="C83" s="4">
        <f t="shared" si="42"/>
        <v>6000000</v>
      </c>
      <c r="D83" s="4">
        <f t="shared" si="42"/>
        <v>6000000</v>
      </c>
      <c r="E83" s="4">
        <f t="shared" si="42"/>
        <v>6000000</v>
      </c>
    </row>
    <row r="84" spans="1:5" x14ac:dyDescent="0.3">
      <c r="A84" s="1" t="s">
        <v>9</v>
      </c>
      <c r="B84" s="5">
        <f t="shared" si="41"/>
        <v>1800000</v>
      </c>
      <c r="C84" s="4">
        <f t="shared" si="42"/>
        <v>1000000</v>
      </c>
      <c r="D84" s="4">
        <f t="shared" si="42"/>
        <v>1000000</v>
      </c>
      <c r="E84" s="4">
        <f t="shared" si="42"/>
        <v>1000000</v>
      </c>
    </row>
    <row r="85" spans="1:5" x14ac:dyDescent="0.3">
      <c r="A85" s="1" t="s">
        <v>52</v>
      </c>
      <c r="B85" s="5">
        <f>SUM(C83:E83)</f>
        <v>18000000</v>
      </c>
      <c r="C85" s="4"/>
      <c r="D85" s="4"/>
      <c r="E85" s="4"/>
    </row>
    <row r="87" spans="1:5" x14ac:dyDescent="0.3">
      <c r="A87" s="1" t="s">
        <v>19</v>
      </c>
      <c r="B87" s="1" t="s">
        <v>15</v>
      </c>
      <c r="C87" s="1" t="s">
        <v>32</v>
      </c>
      <c r="D87" s="1" t="s">
        <v>33</v>
      </c>
      <c r="E87" s="1" t="s">
        <v>34</v>
      </c>
    </row>
    <row r="88" spans="1:5" x14ac:dyDescent="0.3">
      <c r="A88" s="1" t="s">
        <v>3</v>
      </c>
      <c r="B88" s="5"/>
      <c r="C88" s="4">
        <f>$B$4</f>
        <v>10000000</v>
      </c>
      <c r="D88" s="4">
        <f>$B$4</f>
        <v>10000000</v>
      </c>
      <c r="E88" s="4">
        <f>$B$4</f>
        <v>10000000</v>
      </c>
    </row>
    <row r="89" spans="1:5" x14ac:dyDescent="0.3">
      <c r="A89" s="1" t="s">
        <v>53</v>
      </c>
      <c r="B89" s="5">
        <f>B$94*E5</f>
        <v>1800000</v>
      </c>
      <c r="C89" s="4">
        <f>C$88*$E5</f>
        <v>1000000</v>
      </c>
      <c r="D89" s="4">
        <f t="shared" ref="D89:E89" si="43">D$88*$E5</f>
        <v>1000000</v>
      </c>
      <c r="E89" s="4">
        <f t="shared" si="43"/>
        <v>1000000</v>
      </c>
    </row>
    <row r="90" spans="1:5" x14ac:dyDescent="0.3">
      <c r="A90" s="1" t="s">
        <v>55</v>
      </c>
      <c r="B90" s="5">
        <f t="shared" ref="B90:B93" si="44">B$94*E6</f>
        <v>1800000</v>
      </c>
      <c r="C90" s="4">
        <f t="shared" ref="C90:E93" si="45">C$88*$E6</f>
        <v>1000000</v>
      </c>
      <c r="D90" s="4">
        <f t="shared" si="45"/>
        <v>1000000</v>
      </c>
      <c r="E90" s="4">
        <f t="shared" si="45"/>
        <v>1000000</v>
      </c>
    </row>
    <row r="91" spans="1:5" x14ac:dyDescent="0.3">
      <c r="A91" s="1" t="s">
        <v>56</v>
      </c>
      <c r="B91" s="5">
        <f t="shared" si="44"/>
        <v>1800000</v>
      </c>
      <c r="C91" s="4">
        <f t="shared" si="45"/>
        <v>1000000</v>
      </c>
      <c r="D91" s="4">
        <f t="shared" si="45"/>
        <v>1000000</v>
      </c>
      <c r="E91" s="4">
        <f t="shared" si="45"/>
        <v>1000000</v>
      </c>
    </row>
    <row r="92" spans="1:5" x14ac:dyDescent="0.3">
      <c r="A92" s="1" t="s">
        <v>6</v>
      </c>
      <c r="B92" s="5">
        <f t="shared" si="44"/>
        <v>10800000</v>
      </c>
      <c r="C92" s="4">
        <f t="shared" si="45"/>
        <v>6000000</v>
      </c>
      <c r="D92" s="4">
        <f t="shared" si="45"/>
        <v>6000000</v>
      </c>
      <c r="E92" s="4">
        <f t="shared" si="45"/>
        <v>6000000</v>
      </c>
    </row>
    <row r="93" spans="1:5" x14ac:dyDescent="0.3">
      <c r="A93" s="1" t="s">
        <v>9</v>
      </c>
      <c r="B93" s="5">
        <f t="shared" si="44"/>
        <v>1800000</v>
      </c>
      <c r="C93" s="4">
        <f t="shared" si="45"/>
        <v>1000000</v>
      </c>
      <c r="D93" s="4">
        <f t="shared" si="45"/>
        <v>1000000</v>
      </c>
      <c r="E93" s="4">
        <f t="shared" si="45"/>
        <v>1000000</v>
      </c>
    </row>
    <row r="94" spans="1:5" x14ac:dyDescent="0.3">
      <c r="A94" s="1" t="s">
        <v>52</v>
      </c>
      <c r="B94" s="5">
        <f>SUM(C92:E92)</f>
        <v>18000000</v>
      </c>
      <c r="C94" s="4"/>
      <c r="D94" s="4"/>
      <c r="E94" s="4"/>
    </row>
    <row r="96" spans="1:5" x14ac:dyDescent="0.3">
      <c r="A96" s="1" t="s">
        <v>19</v>
      </c>
      <c r="B96" s="1" t="s">
        <v>15</v>
      </c>
      <c r="C96" s="1" t="s">
        <v>35</v>
      </c>
      <c r="D96" s="1" t="s">
        <v>36</v>
      </c>
    </row>
    <row r="97" spans="1:5" x14ac:dyDescent="0.3">
      <c r="A97" s="1" t="s">
        <v>3</v>
      </c>
      <c r="B97" s="5"/>
      <c r="C97" s="4">
        <f>$B$4</f>
        <v>10000000</v>
      </c>
      <c r="D97" s="4">
        <f>$B$4</f>
        <v>10000000</v>
      </c>
    </row>
    <row r="98" spans="1:5" x14ac:dyDescent="0.3">
      <c r="A98" s="1" t="s">
        <v>53</v>
      </c>
      <c r="B98" s="5">
        <f>B$103*E5</f>
        <v>1200000</v>
      </c>
      <c r="C98" s="4">
        <f>C$97*$E5</f>
        <v>1000000</v>
      </c>
      <c r="D98" s="4">
        <f>D$97*$E5</f>
        <v>1000000</v>
      </c>
    </row>
    <row r="99" spans="1:5" x14ac:dyDescent="0.3">
      <c r="A99" s="1" t="s">
        <v>55</v>
      </c>
      <c r="B99" s="5">
        <f t="shared" ref="B99:B102" si="46">B$103*E6</f>
        <v>1200000</v>
      </c>
      <c r="C99" s="4">
        <f t="shared" ref="C99:D102" si="47">C$97*$E6</f>
        <v>1000000</v>
      </c>
      <c r="D99" s="4">
        <f t="shared" si="47"/>
        <v>1000000</v>
      </c>
    </row>
    <row r="100" spans="1:5" x14ac:dyDescent="0.3">
      <c r="A100" s="1" t="s">
        <v>56</v>
      </c>
      <c r="B100" s="5">
        <f t="shared" si="46"/>
        <v>1200000</v>
      </c>
      <c r="C100" s="4">
        <f t="shared" si="47"/>
        <v>1000000</v>
      </c>
      <c r="D100" s="4">
        <f t="shared" si="47"/>
        <v>1000000</v>
      </c>
    </row>
    <row r="101" spans="1:5" x14ac:dyDescent="0.3">
      <c r="A101" s="1" t="s">
        <v>6</v>
      </c>
      <c r="B101" s="5">
        <f t="shared" si="46"/>
        <v>7200000</v>
      </c>
      <c r="C101" s="4">
        <f t="shared" si="47"/>
        <v>6000000</v>
      </c>
      <c r="D101" s="4">
        <f t="shared" si="47"/>
        <v>6000000</v>
      </c>
    </row>
    <row r="102" spans="1:5" x14ac:dyDescent="0.3">
      <c r="A102" s="1" t="s">
        <v>9</v>
      </c>
      <c r="B102" s="5">
        <f t="shared" si="46"/>
        <v>1200000</v>
      </c>
      <c r="C102" s="4">
        <f t="shared" si="47"/>
        <v>1000000</v>
      </c>
      <c r="D102" s="4">
        <f t="shared" si="47"/>
        <v>1000000</v>
      </c>
    </row>
    <row r="103" spans="1:5" x14ac:dyDescent="0.3">
      <c r="A103" s="1" t="s">
        <v>52</v>
      </c>
      <c r="B103" s="5">
        <f>SUM(C101:D101)</f>
        <v>12000000</v>
      </c>
      <c r="C103" s="4"/>
      <c r="D103" s="4"/>
    </row>
    <row r="105" spans="1:5" x14ac:dyDescent="0.3">
      <c r="A105" s="1" t="s">
        <v>19</v>
      </c>
      <c r="B105" s="1" t="s">
        <v>15</v>
      </c>
      <c r="C105" s="1" t="s">
        <v>37</v>
      </c>
      <c r="D105" s="1" t="s">
        <v>38</v>
      </c>
      <c r="E105" s="1" t="s">
        <v>39</v>
      </c>
    </row>
    <row r="106" spans="1:5" x14ac:dyDescent="0.3">
      <c r="A106" s="1" t="s">
        <v>3</v>
      </c>
      <c r="B106" s="5"/>
      <c r="C106" s="4">
        <f>$B$4</f>
        <v>10000000</v>
      </c>
      <c r="D106" s="4">
        <f>$B$4</f>
        <v>10000000</v>
      </c>
      <c r="E106" s="4">
        <f>$B$4</f>
        <v>10000000</v>
      </c>
    </row>
    <row r="107" spans="1:5" x14ac:dyDescent="0.3">
      <c r="A107" s="1" t="s">
        <v>53</v>
      </c>
      <c r="B107" s="5">
        <f>B$112*E5</f>
        <v>1800000</v>
      </c>
      <c r="C107" s="4">
        <f>C$106*$E5</f>
        <v>1000000</v>
      </c>
      <c r="D107" s="4">
        <f t="shared" ref="D107:E107" si="48">D$106*$E5</f>
        <v>1000000</v>
      </c>
      <c r="E107" s="4">
        <f t="shared" si="48"/>
        <v>1000000</v>
      </c>
    </row>
    <row r="108" spans="1:5" x14ac:dyDescent="0.3">
      <c r="A108" s="1" t="s">
        <v>55</v>
      </c>
      <c r="B108" s="5">
        <f t="shared" ref="B108:B111" si="49">B$112*E6</f>
        <v>1800000</v>
      </c>
      <c r="C108" s="4">
        <f t="shared" ref="C108:E111" si="50">C$106*$E6</f>
        <v>1000000</v>
      </c>
      <c r="D108" s="4">
        <f t="shared" si="50"/>
        <v>1000000</v>
      </c>
      <c r="E108" s="4">
        <f t="shared" si="50"/>
        <v>1000000</v>
      </c>
    </row>
    <row r="109" spans="1:5" x14ac:dyDescent="0.3">
      <c r="A109" s="1" t="s">
        <v>56</v>
      </c>
      <c r="B109" s="5">
        <f t="shared" si="49"/>
        <v>1800000</v>
      </c>
      <c r="C109" s="4">
        <f t="shared" si="50"/>
        <v>1000000</v>
      </c>
      <c r="D109" s="4">
        <f t="shared" si="50"/>
        <v>1000000</v>
      </c>
      <c r="E109" s="4">
        <f t="shared" si="50"/>
        <v>1000000</v>
      </c>
    </row>
    <row r="110" spans="1:5" x14ac:dyDescent="0.3">
      <c r="A110" s="1" t="s">
        <v>6</v>
      </c>
      <c r="B110" s="5">
        <f t="shared" si="49"/>
        <v>10800000</v>
      </c>
      <c r="C110" s="4">
        <f t="shared" si="50"/>
        <v>6000000</v>
      </c>
      <c r="D110" s="4">
        <f t="shared" si="50"/>
        <v>6000000</v>
      </c>
      <c r="E110" s="4">
        <f t="shared" si="50"/>
        <v>6000000</v>
      </c>
    </row>
    <row r="111" spans="1:5" x14ac:dyDescent="0.3">
      <c r="A111" s="1" t="s">
        <v>9</v>
      </c>
      <c r="B111" s="5">
        <f t="shared" si="49"/>
        <v>1800000</v>
      </c>
      <c r="C111" s="4">
        <f t="shared" si="50"/>
        <v>1000000</v>
      </c>
      <c r="D111" s="4">
        <f t="shared" si="50"/>
        <v>1000000</v>
      </c>
      <c r="E111" s="4">
        <f t="shared" si="50"/>
        <v>1000000</v>
      </c>
    </row>
    <row r="112" spans="1:5" x14ac:dyDescent="0.3">
      <c r="A112" s="1" t="s">
        <v>52</v>
      </c>
      <c r="B112" s="5">
        <f>SUM(C110:E110)</f>
        <v>18000000</v>
      </c>
      <c r="C112" s="4"/>
      <c r="D112" s="4"/>
      <c r="E1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00E7-919F-4E1D-9EFC-2B31EC928FAC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2024-10-12T14:35:39Z</dcterms:created>
  <dcterms:modified xsi:type="dcterms:W3CDTF">2024-10-14T00:16:22Z</dcterms:modified>
</cp:coreProperties>
</file>